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Videos\Project\"/>
    </mc:Choice>
  </mc:AlternateContent>
  <xr:revisionPtr revIDLastSave="0" documentId="13_ncr:1_{156B4BA2-946D-4538-93FC-78C11BA9396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atient 1" sheetId="1" r:id="rId1"/>
    <sheet name="LicenseData" sheetId="2" state="veryHidden" r:id="rId2"/>
  </sheets>
  <definedNames>
    <definedName name="Average_Calories">'Patient 1'!$C$9</definedName>
    <definedName name="Average_Distance__miles_km">'Patient 1'!$B$11</definedName>
    <definedName name="Average_Duration__minutes">'Patient 1'!$B$9</definedName>
    <definedName name="Average_Pace__per_hour">'Patient 1'!$B$13</definedName>
    <definedName name="Average_Weight">'Patient 1'!$C$11</definedName>
    <definedName name="_xlnm.Print_Titles" localSheetId="0">'Patient 1'!$14:$14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" l="1"/>
  <c r="B11" i="1"/>
  <c r="B9" i="1"/>
  <c r="B13" i="1" s="1"/>
</calcChain>
</file>

<file path=xl/sharedStrings.xml><?xml version="1.0" encoding="utf-8"?>
<sst xmlns="http://schemas.openxmlformats.org/spreadsheetml/2006/main" count="33" uniqueCount="30">
  <si>
    <t>Patient Name: Benji</t>
  </si>
  <si>
    <t>Sex: Male</t>
  </si>
  <si>
    <t>Genotype: CR</t>
  </si>
  <si>
    <t>Date of Birth: 02 March</t>
  </si>
  <si>
    <t>Contact Number: 08145315466</t>
  </si>
  <si>
    <t>Stats</t>
  </si>
  <si>
    <t>Average warfarin dose (mg)</t>
  </si>
  <si>
    <t>Average weight (kg)</t>
  </si>
  <si>
    <t>Average INR</t>
  </si>
  <si>
    <t>Average Boby mass index
(kg/m2)</t>
  </si>
  <si>
    <t>Date</t>
  </si>
  <si>
    <t>Warfarin Dose (mg)</t>
  </si>
  <si>
    <t>Weight (kg)</t>
  </si>
  <si>
    <t>Body mass index (kg/m2)</t>
  </si>
  <si>
    <t>Warfarin INR</t>
  </si>
  <si>
    <t>NOTES</t>
  </si>
  <si>
    <t>Blood glucose (mg/dL)</t>
  </si>
  <si>
    <t>Systolic BP (mm Hg)</t>
  </si>
  <si>
    <t>Diastolic BP (mm Hg)</t>
  </si>
  <si>
    <t>Height (m)</t>
  </si>
  <si>
    <t>Lung capacity (cm3)</t>
  </si>
  <si>
    <t>10/10/2025</t>
  </si>
  <si>
    <t>45</t>
  </si>
  <si>
    <t>80</t>
  </si>
  <si>
    <t>40.82</t>
  </si>
  <si>
    <t>day1</t>
  </si>
  <si>
    <t>4</t>
  </si>
  <si>
    <t>6</t>
  </si>
  <si>
    <t>1.4</t>
  </si>
  <si>
    <t xml:space="preserve">MonaGraph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</si>
</sst>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>
    <font>
      <sz val="11"/>
      <color theme="1" tint="0.1498764000366222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9"/>
      <color theme="1" tint="0.1498764000366222"/>
      <name val="Arial"/>
      <family val="2"/>
      <scheme val="minor"/>
    </font>
    <font>
      <sz val="18"/>
      <color theme="4"/>
      <name val="Arial"/>
      <family val="2"/>
      <scheme val="major"/>
    </font>
    <font>
      <sz val="16"/>
      <color theme="3"/>
      <name val="Arial"/>
      <family val="2"/>
      <scheme val="major"/>
    </font>
    <font>
      <sz val="11"/>
      <color theme="1" tint="0.34998626667073579"/>
      <name val="Arial"/>
      <family val="2"/>
      <scheme val="major"/>
    </font>
    <font>
      <sz val="11"/>
      <color theme="1" tint="0.1498764000366222"/>
      <name val="Arial"/>
      <family val="2"/>
      <scheme val="minor"/>
    </font>
    <font>
      <sz val="12"/>
      <color theme="1"/>
      <name val="Baskerville"/>
      <family val="1"/>
    </font>
    <font>
      <i/>
      <sz val="20"/>
      <color theme="0"/>
      <name val="Baskerville"/>
      <family val="1"/>
    </font>
    <font>
      <sz val="11"/>
      <color theme="1" tint="0.1498764000366222"/>
      <name val="Baskerville"/>
      <family val="1"/>
    </font>
    <font>
      <i/>
      <sz val="11"/>
      <color theme="1" tint="0.1498764000366222"/>
      <name val="Baskerville"/>
      <family val="1"/>
    </font>
    <font>
      <sz val="12"/>
      <color theme="1" tint="0.1498764000366222"/>
      <name val="Baskerville"/>
      <family val="1"/>
    </font>
    <font>
      <i/>
      <sz val="12"/>
      <color theme="1"/>
      <name val="Baskerville"/>
      <family val="1"/>
    </font>
    <font>
      <b/>
      <i/>
      <sz val="11"/>
      <color theme="1" tint="0.1498764000366222"/>
      <name val="Baskerville"/>
      <family val="1"/>
    </font>
    <font>
      <sz val="18"/>
      <color rgb="FF0432FF"/>
      <name val="Baskerville"/>
      <family val="1"/>
    </font>
    <font>
      <b/>
      <i/>
      <sz val="11"/>
      <color theme="1" tint="0.1498764000366222"/>
      <name val="Baskerville Old Face"/>
      <family val="1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0432FF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0" tint="-0.1498764000366222"/>
      </bottom>
      <diagonal/>
    </border>
  </borders>
  <cellStyleXfs count="11">
    <xf numFmtId="0" fontId="0" fillId="0" borderId="0"/>
    <xf numFmtId="0" fontId="4" fillId="0" borderId="0">
      <alignment horizontal="left"/>
    </xf>
    <xf numFmtId="0" fontId="5" fillId="0" borderId="0">
      <alignment horizontal="left" vertical="top"/>
    </xf>
    <xf numFmtId="0" fontId="6" fillId="0" borderId="0">
      <alignment horizontal="left" vertical="top" wrapText="1"/>
    </xf>
    <xf numFmtId="0" fontId="7" fillId="2" borderId="0">
      <alignment horizontal="center" vertical="center" wrapText="1"/>
    </xf>
    <xf numFmtId="14" fontId="7" fillId="2" borderId="0">
      <alignment horizontal="center"/>
    </xf>
    <xf numFmtId="4" fontId="7" fillId="2" borderId="0">
      <alignment horizontal="center"/>
    </xf>
    <xf numFmtId="3" fontId="7" fillId="2" borderId="0">
      <alignment horizontal="center"/>
    </xf>
    <xf numFmtId="0" fontId="7" fillId="2" borderId="0">
      <alignment horizontal="left" wrapText="1"/>
    </xf>
    <xf numFmtId="0" fontId="2" fillId="3" borderId="0"/>
    <xf numFmtId="0" fontId="2" fillId="4" borderId="0"/>
  </cellStyleXfs>
  <cellXfs count="27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vertical="center"/>
    </xf>
    <xf numFmtId="0" fontId="6" fillId="0" borderId="0" xfId="3">
      <alignment horizontal="left" vertical="top" wrapText="1"/>
    </xf>
    <xf numFmtId="3" fontId="5" fillId="0" borderId="0" xfId="2" applyNumberFormat="1">
      <alignment horizontal="left" vertical="top"/>
    </xf>
    <xf numFmtId="4" fontId="5" fillId="0" borderId="0" xfId="2" applyNumberFormat="1">
      <alignment horizontal="left" vertical="top"/>
    </xf>
    <xf numFmtId="0" fontId="0" fillId="2" borderId="0" xfId="0" applyFill="1" applyProtection="1">
      <protection locked="0"/>
    </xf>
    <xf numFmtId="0" fontId="2" fillId="5" borderId="1" xfId="9" applyFill="1" applyBorder="1"/>
    <xf numFmtId="0" fontId="9" fillId="5" borderId="1" xfId="9" applyFont="1" applyFill="1" applyBorder="1" applyAlignment="1">
      <alignment horizontal="left" vertical="center"/>
    </xf>
    <xf numFmtId="0" fontId="1" fillId="6" borderId="0" xfId="10" applyFont="1" applyFill="1"/>
    <xf numFmtId="0" fontId="11" fillId="0" borderId="0" xfId="4" applyFont="1" applyFill="1">
      <alignment horizontal="center" vertical="center" wrapText="1"/>
    </xf>
    <xf numFmtId="0" fontId="10" fillId="2" borderId="0" xfId="0" applyFont="1" applyFill="1"/>
    <xf numFmtId="14" fontId="12" fillId="2" borderId="0" xfId="5" applyFont="1" applyProtection="1">
      <alignment horizontal="center"/>
      <protection locked="0"/>
    </xf>
    <xf numFmtId="3" fontId="12" fillId="2" borderId="0" xfId="7" applyFont="1" applyProtection="1">
      <alignment horizontal="center"/>
      <protection locked="0"/>
    </xf>
    <xf numFmtId="4" fontId="12" fillId="2" borderId="0" xfId="6" applyFont="1" applyProtection="1">
      <alignment horizontal="center"/>
      <protection locked="0"/>
    </xf>
    <xf numFmtId="0" fontId="12" fillId="2" borderId="0" xfId="8" applyFont="1" applyProtection="1">
      <alignment horizontal="left" wrapText="1"/>
      <protection locked="0"/>
    </xf>
    <xf numFmtId="0" fontId="13" fillId="6" borderId="0" xfId="10" applyFont="1" applyFill="1" applyAlignment="1">
      <alignment vertical="center"/>
    </xf>
    <xf numFmtId="0" fontId="14" fillId="0" borderId="0" xfId="4" applyFont="1" applyFill="1">
      <alignment horizontal="center" vertical="center" wrapText="1"/>
    </xf>
    <xf numFmtId="0" fontId="15" fillId="0" borderId="0" xfId="1" applyFont="1">
      <alignment horizontal="left"/>
    </xf>
    <xf numFmtId="0" fontId="8" fillId="6" borderId="0" xfId="10" applyFont="1" applyFill="1" applyAlignment="1">
      <alignment vertical="center"/>
    </xf>
    <xf numFmtId="0" fontId="13" fillId="6" borderId="0" xfId="10" applyFont="1" applyFill="1" applyAlignment="1">
      <alignment horizontal="center" vertical="center"/>
    </xf>
    <xf numFmtId="14" fontId="0" fillId="0" borderId="0" xfId="0" applyNumberFormat="1"/>
    <xf numFmtId="15" fontId="13" fillId="6" borderId="0" xfId="10" applyNumberFormat="1" applyFont="1" applyFill="1" applyAlignment="1">
      <alignment horizontal="center" vertical="center"/>
    </xf>
    <xf numFmtId="14" fontId="0" fillId="2" borderId="0" xfId="0" applyNumberFormat="1" applyFill="1" applyProtection="1">
      <protection locked="0"/>
    </xf>
    <xf numFmtId="0" fontId="0" fillId="2" borderId="0" xfId="0" applyFill="1" applyAlignment="1">
      <alignment horizontal="center"/>
    </xf>
    <xf numFmtId="0" fontId="12" fillId="2" borderId="0" xfId="0" applyFont="1" applyFill="1" applyProtection="1">
      <protection locked="0"/>
    </xf>
    <xf numFmtId="0" fontId="16" fillId="2" borderId="0" xfId="4" applyFont="1">
      <alignment horizontal="center" vertical="center" wrapText="1"/>
    </xf>
  </cellXfs>
  <cellStyles count="11">
    <cellStyle name="20% - Accent2" xfId="9" builtinId="34"/>
    <cellStyle name="40% - Accent3" xfId="10" builtinId="39"/>
    <cellStyle name="Heading 1" xfId="1" builtinId="16"/>
    <cellStyle name="Heading 2" xfId="2" builtinId="17"/>
    <cellStyle name="Heading 3" xfId="3" builtinId="18"/>
    <cellStyle name="Normal" xfId="0" builtinId="0"/>
    <cellStyle name="Table 0.00" xfId="6" xr:uid="{00000000-0005-0000-0000-000006000000}"/>
    <cellStyle name="Table date" xfId="5" xr:uid="{00000000-0005-0000-0000-000005000000}"/>
    <cellStyle name="Table heading" xfId="4" xr:uid="{00000000-0005-0000-0000-000004000000}"/>
    <cellStyle name="Table notes" xfId="8" xr:uid="{00000000-0005-0000-0000-000008000000}"/>
    <cellStyle name="Table number style" xfId="7" xr:uid="{00000000-0005-0000-0000-000007000000}"/>
  </cellStyles>
  <dxfs count="27">
    <dxf>
      <fill>
        <patternFill patternType="solid">
          <fgColor indexed="64"/>
          <bgColor theme="2"/>
        </patternFill>
      </fill>
      <alignment horizontal="center" vertical="bottom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ill>
        <patternFill patternType="solid">
          <fgColor indexed="64"/>
          <bgColor theme="2"/>
        </patternFill>
      </fill>
      <alignment horizontal="center" vertical="bottom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ill>
        <patternFill patternType="solid">
          <fgColor indexed="64"/>
          <bgColor theme="2"/>
        </patternFill>
      </fill>
      <alignment horizontal="center" vertical="bottom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ill>
        <patternFill patternType="solid">
          <fgColor indexed="64"/>
          <bgColor theme="2"/>
        </patternFill>
      </fill>
      <alignment horizontal="center" vertical="bottom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ill>
        <patternFill patternType="solid">
          <fgColor indexed="64"/>
          <bgColor theme="2"/>
        </patternFill>
      </fill>
      <alignment horizontal="center" vertical="bottom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2"/>
        <color theme="1" tint="0.1498764000366222"/>
        <name val="Baskerville"/>
        <family val="1"/>
      </font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2"/>
        <color theme="1" tint="0.1498764000366222"/>
        <name val="Baskerville"/>
        <family val="1"/>
      </font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numFmt numFmtId="3" formatCode="#,##0"/>
      <fill>
        <patternFill>
          <fgColor indexed="64"/>
          <bgColor theme="2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2"/>
        <color theme="1" tint="0.1498764000366222"/>
        <name val="Baskerville"/>
        <family val="1"/>
      </font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2"/>
        <color theme="1" tint="0.1498764000366222"/>
        <name val="Baskerville"/>
        <family val="1"/>
      </font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2"/>
        <color theme="1" tint="0.1498764000366222"/>
        <name val="Baskerville"/>
        <family val="1"/>
      </font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2"/>
        <color theme="1" tint="0.1498764000366222"/>
        <name val="Baskerville"/>
        <family val="1"/>
      </font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ill>
        <patternFill patternType="solid">
          <fgColor indexed="64"/>
          <bgColor theme="2"/>
        </patternFill>
      </fill>
      <alignment horizontal="center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b/>
      </font>
    </dxf>
    <dxf>
      <font>
        <b/>
        <color theme="1" tint="0.1498764000366222"/>
      </font>
      <fill>
        <patternFill patternType="solid">
          <fgColor theme="4"/>
          <bgColor theme="2"/>
        </patternFill>
      </fill>
      <border>
        <top style="thin">
          <color theme="4" tint="-0.24994659260841701"/>
        </top>
        <bottom style="thin">
          <color theme="4" tint="-0.24994659260841701"/>
        </bottom>
      </border>
    </dxf>
    <dxf>
      <font>
        <color theme="1" tint="0.1498764000366222"/>
      </font>
      <fill>
        <patternFill>
          <bgColor theme="2"/>
        </patternFill>
      </fill>
    </dxf>
  </dxfs>
  <tableStyles count="1" defaultTableStyle="Workout log table" defaultPivotStyle="PivotStyleLight16">
    <tableStyle name="Workout log table" pivot="0" count="2" xr9:uid="{00000000-0011-0000-FFFF-FFFF00000000}">
      <tableStyleElement type="wholeTable" dxfId="26"/>
      <tableStyleElement type="headerRow" dxfId="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r>
              <a:rPr lang="en-GB"/>
              <a:t>Warfarin Dose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'Patient 1'!$C$14</c:f>
              <c:strCache>
                <c:ptCount val="1"/>
                <c:pt idx="0">
                  <c:v>Warfarin Dose (mg)</c:v>
                </c:pt>
              </c:strCache>
            </c:strRef>
          </c:tx>
          <c:spPr>
            <a:ln w="12700" cap="flat" cmpd="sng" algn="ctr">
              <a:solidFill>
                <a:srgbClr val="0432FF"/>
              </a:solidFill>
              <a:prstDash val="solid"/>
              <a:miter lim="800000"/>
            </a:ln>
          </c:spPr>
          <c:marker>
            <c:symbol val="circle"/>
            <c:size val="5"/>
            <c:spPr>
              <a:solidFill>
                <a:schemeClr val="lt1"/>
              </a:solidFill>
              <a:ln w="12700" cap="flat" cmpd="sng" algn="ctr">
                <a:solidFill>
                  <a:srgbClr val="0432FF"/>
                </a:solidFill>
                <a:prstDash val="solid"/>
                <a:miter lim="800000"/>
              </a:ln>
            </c:spPr>
          </c:marker>
          <c:cat>
            <c:strRef>
              <c:f>'Patient 1'!$B$15:$B$28</c:f>
              <c:strCache>
                <c:ptCount val="1"/>
                <c:pt idx="0">
                  <c:v>10/10/2025</c:v>
                </c:pt>
              </c:strCache>
            </c:strRef>
          </c:cat>
          <c:val>
            <c:numRef>
              <c:f>'Patient 1'!$C$15:$C$28</c:f>
              <c:numCache>
                <c:formatCode>#,##0</c:formatCode>
                <c:ptCount val="14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15-45FE-88E2-C9CA61F82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6411376"/>
        <c:axId val="1986395920"/>
      </c:lineChart>
      <c:catAx>
        <c:axId val="198641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986395920"/>
        <c:crosses val="autoZero"/>
        <c:auto val="1"/>
        <c:lblAlgn val="ctr"/>
        <c:lblOffset val="100"/>
        <c:noMultiLvlLbl val="1"/>
      </c:catAx>
      <c:valAx>
        <c:axId val="198639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986411376"/>
        <c:crosses val="autoZero"/>
        <c:crossBetween val="between"/>
      </c:valAx>
    </c:plotArea>
    <c:plotVisOnly val="1"/>
    <c:dispBlanksAs val="zero"/>
    <c:showDLblsOverMax val="1"/>
  </c:chart>
  <c:spPr>
    <a:solidFill>
      <a:schemeClr val="bg1"/>
    </a:solidFill>
    <a:ln w="9525" cap="flat" cmpd="sng" algn="ctr">
      <a:solidFill>
        <a:srgbClr val="0432FF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r>
              <a:rPr lang="en-GB"/>
              <a:t>BMI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flat" cmpd="sng" algn="ctr">
              <a:solidFill>
                <a:srgbClr val="0432FF"/>
              </a:solidFill>
              <a:prstDash val="solid"/>
              <a:miter lim="800000"/>
            </a:ln>
          </c:spPr>
          <c:marker>
            <c:symbol val="circle"/>
            <c:size val="5"/>
            <c:spPr>
              <a:solidFill>
                <a:schemeClr val="lt1"/>
              </a:solidFill>
              <a:ln w="12700" cap="flat" cmpd="sng" algn="ctr">
                <a:solidFill>
                  <a:srgbClr val="0432FF"/>
                </a:solidFill>
                <a:prstDash val="solid"/>
                <a:miter lim="800000"/>
              </a:ln>
            </c:spPr>
          </c:marker>
          <c:cat>
            <c:strRef>
              <c:f>'Patient 1'!$B$15:$B$28</c:f>
              <c:strCache>
                <c:ptCount val="1"/>
                <c:pt idx="0">
                  <c:v>10/10/2025</c:v>
                </c:pt>
              </c:strCache>
            </c:strRef>
          </c:cat>
          <c:val>
            <c:numRef>
              <c:f>'Patient 1'!$E$15:$E$28</c:f>
              <c:numCache>
                <c:formatCode>#,##0.00</c:formatCode>
                <c:ptCount val="14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C0-4575-BE05-82F234075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2055312"/>
        <c:axId val="1522654512"/>
      </c:lineChart>
      <c:catAx>
        <c:axId val="200205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522654512"/>
        <c:crosses val="autoZero"/>
        <c:auto val="1"/>
        <c:lblAlgn val="ctr"/>
        <c:lblOffset val="100"/>
        <c:noMultiLvlLbl val="1"/>
      </c:catAx>
      <c:valAx>
        <c:axId val="152265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2002055312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rgbClr val="0432FF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r>
              <a:rPr lang="en-GB"/>
              <a:t>Weight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flat" cmpd="sng" algn="ctr">
              <a:solidFill>
                <a:srgbClr val="0432FF"/>
              </a:solidFill>
              <a:prstDash val="solid"/>
              <a:miter lim="800000"/>
            </a:ln>
          </c:spPr>
          <c:marker>
            <c:symbol val="circle"/>
            <c:size val="5"/>
            <c:spPr>
              <a:solidFill>
                <a:schemeClr val="lt1"/>
              </a:solidFill>
              <a:ln w="12700" cap="flat" cmpd="sng" algn="ctr">
                <a:solidFill>
                  <a:srgbClr val="0432FF"/>
                </a:solidFill>
                <a:prstDash val="solid"/>
                <a:miter lim="800000"/>
              </a:ln>
            </c:spPr>
          </c:marker>
          <c:cat>
            <c:strRef>
              <c:f>'Patient 1'!$B$15:$B$28</c:f>
              <c:strCache>
                <c:ptCount val="1"/>
                <c:pt idx="0">
                  <c:v>10/10/2025</c:v>
                </c:pt>
              </c:strCache>
            </c:strRef>
          </c:cat>
          <c:val>
            <c:numRef>
              <c:f>'Patient 1'!$D$15:$D$28</c:f>
              <c:numCache>
                <c:formatCode>#,##0.00</c:formatCode>
                <c:ptCount val="14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0-4F9C-88F9-DF3C04808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627024"/>
        <c:axId val="1523667984"/>
      </c:lineChart>
      <c:catAx>
        <c:axId val="151862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523667984"/>
        <c:crosses val="autoZero"/>
        <c:auto val="1"/>
        <c:lblAlgn val="ctr"/>
        <c:lblOffset val="100"/>
        <c:noMultiLvlLbl val="1"/>
      </c:catAx>
      <c:valAx>
        <c:axId val="15236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518627024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rgbClr val="0432FF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r>
              <a:rPr lang="en-GB"/>
              <a:t>INR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flat" cmpd="sng" algn="ctr">
              <a:solidFill>
                <a:srgbClr val="0432FF"/>
              </a:solidFill>
              <a:prstDash val="solid"/>
              <a:miter lim="800000"/>
            </a:ln>
          </c:spPr>
          <c:marker>
            <c:symbol val="circle"/>
            <c:size val="5"/>
            <c:spPr>
              <a:solidFill>
                <a:schemeClr val="lt1"/>
              </a:solidFill>
              <a:ln w="12700" cap="flat" cmpd="sng" algn="ctr">
                <a:solidFill>
                  <a:srgbClr val="0432FF"/>
                </a:solidFill>
                <a:prstDash val="solid"/>
                <a:miter lim="800000"/>
              </a:ln>
            </c:spPr>
          </c:marker>
          <c:cat>
            <c:strRef>
              <c:f>'Patient 1'!$B$15:$B$28</c:f>
              <c:strCache>
                <c:ptCount val="1"/>
                <c:pt idx="0">
                  <c:v>10/10/2025</c:v>
                </c:pt>
              </c:strCache>
            </c:strRef>
          </c:cat>
          <c:val>
            <c:numRef>
              <c:f>'Patient 1'!$F$15:$F$28</c:f>
              <c:numCache>
                <c:formatCode>#,##0</c:formatCode>
                <c:ptCount val="14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CC-419A-B95C-B0CD29FAA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0912288"/>
        <c:axId val="1550914016"/>
      </c:lineChart>
      <c:catAx>
        <c:axId val="155091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550914016"/>
        <c:crosses val="autoZero"/>
        <c:auto val="1"/>
        <c:lblAlgn val="ctr"/>
        <c:lblOffset val="100"/>
        <c:noMultiLvlLbl val="1"/>
      </c:catAx>
      <c:valAx>
        <c:axId val="155091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550912288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rgbClr val="0432FF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7</xdr:row>
      <xdr:rowOff>50800</xdr:rowOff>
    </xdr:from>
    <xdr:to>
      <xdr:col>4</xdr:col>
      <xdr:colOff>1402080</xdr:colOff>
      <xdr:row>12</xdr:row>
      <xdr:rowOff>342900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107951</xdr:colOff>
      <xdr:row>7</xdr:row>
      <xdr:rowOff>48684</xdr:rowOff>
    </xdr:from>
    <xdr:to>
      <xdr:col>15</xdr:col>
      <xdr:colOff>249768</xdr:colOff>
      <xdr:row>12</xdr:row>
      <xdr:rowOff>347134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7</xdr:row>
      <xdr:rowOff>59972</xdr:rowOff>
    </xdr:from>
    <xdr:to>
      <xdr:col>10</xdr:col>
      <xdr:colOff>67733</xdr:colOff>
      <xdr:row>12</xdr:row>
      <xdr:rowOff>345722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1435100</xdr:colOff>
      <xdr:row>7</xdr:row>
      <xdr:rowOff>47272</xdr:rowOff>
    </xdr:from>
    <xdr:to>
      <xdr:col>7</xdr:col>
      <xdr:colOff>381000</xdr:colOff>
      <xdr:row>12</xdr:row>
      <xdr:rowOff>358422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Workouts" displayName="Workouts" ref="B14:L29" totalsRowCount="1" headerRowDxfId="24" dataDxfId="23" totalsRowDxfId="22" headerRowCellStyle="Table heading">
  <autoFilter ref="B14:L28" xr:uid="{00000000-0009-0000-0100-000001000000}"/>
  <tableColumns count="11">
    <tableColumn id="1" xr3:uid="{00000000-0010-0000-0000-000001000000}" name="Date" dataDxfId="21" totalsRowDxfId="20" dataCellStyle="Table date" totalsRowCellStyle="Table date"/>
    <tableColumn id="2" xr3:uid="{00000000-0010-0000-0000-000002000000}" name="Warfarin Dose (mg)" dataDxfId="19" totalsRowDxfId="18" dataCellStyle="Table number style" totalsRowCellStyle="Table number style"/>
    <tableColumn id="3" xr3:uid="{00000000-0010-0000-0000-000003000000}" name="Weight (kg)" dataDxfId="17" totalsRowDxfId="16" dataCellStyle="Table 0.00" totalsRowCellStyle="Table 0.00"/>
    <tableColumn id="4" xr3:uid="{00000000-0010-0000-0000-000004000000}" name="Body mass index (kg/m2)" dataDxfId="15" totalsRowDxfId="14" dataCellStyle="Table 0.00" totalsRowCellStyle="Table 0.00"/>
    <tableColumn id="6" xr3:uid="{00000000-0010-0000-0000-000006000000}" name="Warfarin INR" dataDxfId="13" totalsRowDxfId="12" dataCellStyle="Table number style" totalsRowCellStyle="Table number style"/>
    <tableColumn id="7" xr3:uid="{00000000-0010-0000-0000-000007000000}" name="NOTES" dataDxfId="11" totalsRowDxfId="10" dataCellStyle="Table notes" totalsRowCellStyle="Table notes"/>
    <tableColumn id="5" xr3:uid="{00000000-0010-0000-0000-000005000000}" name="Blood glucose (mg/dL)" dataDxfId="9" totalsRowDxfId="8"/>
    <tableColumn id="8" xr3:uid="{00000000-0010-0000-0000-000008000000}" name="Systolic BP (mm Hg)" dataDxfId="7" totalsRowDxfId="6"/>
    <tableColumn id="15" xr3:uid="{00000000-0010-0000-0000-00000F000000}" name="Diastolic BP (mm Hg)" dataDxfId="5" totalsRowDxfId="4"/>
    <tableColumn id="16" xr3:uid="{00000000-0010-0000-0000-000010000000}" name="Height (m)" dataDxfId="3" totalsRowDxfId="2"/>
    <tableColumn id="17" xr3:uid="{00000000-0010-0000-0000-000011000000}" name="Lung capacity (cm3)" dataDxfId="1" totalsRowDxfId="0"/>
  </tableColumns>
  <tableStyleInfo name="Workout log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Workout Log">
      <a:dk1>
        <a:sysClr val="windowText" lastClr="000000"/>
      </a:dk1>
      <a:lt1>
        <a:sysClr val="window" lastClr="FFFFFF"/>
      </a:lt1>
      <a:dk2>
        <a:srgbClr val="161417"/>
      </a:dk2>
      <a:lt2>
        <a:srgbClr val="F4F3EE"/>
      </a:lt2>
      <a:accent1>
        <a:srgbClr val="DF4C26"/>
      </a:accent1>
      <a:accent2>
        <a:srgbClr val="36A0CA"/>
      </a:accent2>
      <a:accent3>
        <a:srgbClr val="CAC02F"/>
      </a:accent3>
      <a:accent4>
        <a:srgbClr val="41B05B"/>
      </a:accent4>
      <a:accent5>
        <a:srgbClr val="805FA6"/>
      </a:accent5>
      <a:accent6>
        <a:srgbClr val="EF7E31"/>
      </a:accent6>
      <a:hlink>
        <a:srgbClr val="36A0CA"/>
      </a:hlink>
      <a:folHlink>
        <a:srgbClr val="805FA6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B1:L98"/>
  <sheetViews>
    <sheetView showGridLines="0" tabSelected="1" topLeftCell="B4" zoomScaleNormal="100" workbookViewId="0">
      <selection activeCell="B1" sqref="B1"/>
    </sheetView>
  </sheetViews>
  <sheetFormatPr defaultColWidth="8.69921875" defaultRowHeight="30" customHeight="1"/>
  <cols>
    <col min="1" max="1" width="3.69921875" style="1" customWidth="1"/>
    <col min="2" max="2" width="17.69921875" style="1" customWidth="1"/>
    <col min="3" max="3" width="20.69921875" style="1" customWidth="1"/>
    <col min="4" max="7" width="19.69921875" style="1" customWidth="1"/>
    <col min="8" max="8" width="17.69921875" style="1" customWidth="1"/>
    <col min="9" max="9" width="21.296875" style="1" customWidth="1"/>
    <col min="10" max="18" width="8.69921875" style="1" customWidth="1"/>
    <col min="19" max="16384" width="8.69921875" style="1"/>
  </cols>
  <sheetData>
    <row r="1" spans="2:12" s="7" customFormat="1" ht="40.049999999999997" customHeight="1" thickBot="1">
      <c r="B1" s="8" t="s">
        <v>29</v>
      </c>
    </row>
    <row r="2" spans="2:12" s="9" customFormat="1" ht="25.05" customHeight="1" thickTop="1">
      <c r="B2" s="20" t="s">
        <v>0</v>
      </c>
    </row>
    <row r="3" spans="2:12" s="9" customFormat="1" ht="25.05" customHeight="1">
      <c r="B3" s="20" t="s">
        <v>1</v>
      </c>
      <c r="E3" s="16"/>
      <c r="F3" s="16"/>
    </row>
    <row r="4" spans="2:12" s="9" customFormat="1" ht="25.05" customHeight="1">
      <c r="B4" s="22" t="s">
        <v>2</v>
      </c>
      <c r="E4" s="16"/>
      <c r="F4" s="16"/>
    </row>
    <row r="5" spans="2:12" s="9" customFormat="1" ht="25.05" customHeight="1">
      <c r="B5" s="20" t="s">
        <v>3</v>
      </c>
      <c r="E5" s="16"/>
      <c r="F5" s="16"/>
    </row>
    <row r="6" spans="2:12" s="9" customFormat="1" ht="22.8" customHeight="1">
      <c r="B6" s="20" t="s">
        <v>4</v>
      </c>
      <c r="C6" s="19"/>
      <c r="E6" s="19"/>
      <c r="F6" s="19"/>
    </row>
    <row r="7" spans="2:12" ht="30" customHeight="1">
      <c r="B7" s="18" t="s">
        <v>5</v>
      </c>
    </row>
    <row r="8" spans="2:12" ht="30" customHeight="1">
      <c r="B8" s="3" t="s">
        <v>6</v>
      </c>
      <c r="C8" s="3"/>
    </row>
    <row r="9" spans="2:12" ht="30" customHeight="1">
      <c r="B9" s="4" t="str">
        <f>IFERROR(AVERAGE(Workouts[Warfarin Dose (mg)]),"[TIME]")</f>
        <v>[TIME]</v>
      </c>
      <c r="C9" s="4"/>
    </row>
    <row r="10" spans="2:12" ht="30" customHeight="1">
      <c r="B10" s="3" t="s">
        <v>7</v>
      </c>
      <c r="C10" s="3" t="s">
        <v>8</v>
      </c>
    </row>
    <row r="11" spans="2:12" ht="30" customHeight="1">
      <c r="B11" s="5" t="str">
        <f>IFERROR(AVERAGE(Workouts[Weight (kg)]),"[DISTANCE]")</f>
        <v>[DISTANCE]</v>
      </c>
      <c r="C11" s="4" t="str">
        <f>IFERROR(AVERAGE(Workouts[Warfarin INR]),"[WEIGHT]")</f>
        <v>[WEIGHT]</v>
      </c>
    </row>
    <row r="12" spans="2:12" ht="30" customHeight="1">
      <c r="B12" s="3" t="s">
        <v>9</v>
      </c>
    </row>
    <row r="13" spans="2:12" ht="30" customHeight="1">
      <c r="B13" s="5" t="str">
        <f>IFERROR((60/Average_Duration__minutes)*Average_Distance__miles_km,"")</f>
        <v/>
      </c>
    </row>
    <row r="14" spans="2:12" s="2" customFormat="1" ht="27" customHeight="1">
      <c r="B14" s="17" t="s">
        <v>10</v>
      </c>
      <c r="C14" s="17" t="s">
        <v>11</v>
      </c>
      <c r="D14" s="17" t="s">
        <v>12</v>
      </c>
      <c r="E14" s="17" t="s">
        <v>13</v>
      </c>
      <c r="F14" s="10" t="s">
        <v>14</v>
      </c>
      <c r="G14" s="10" t="s">
        <v>15</v>
      </c>
      <c r="H14" s="26" t="s">
        <v>16</v>
      </c>
      <c r="I14" s="26" t="s">
        <v>17</v>
      </c>
      <c r="J14" s="26" t="s">
        <v>18</v>
      </c>
      <c r="K14" s="26" t="s">
        <v>19</v>
      </c>
      <c r="L14" s="26" t="s">
        <v>20</v>
      </c>
    </row>
    <row r="15" spans="2:12" s="11" customFormat="1" ht="19.95" customHeight="1">
      <c r="B15" s="12" t="s">
        <v>21</v>
      </c>
      <c r="C15" s="13" t="s">
        <v>22</v>
      </c>
      <c r="D15" s="14" t="s">
        <v>23</v>
      </c>
      <c r="E15" s="14" t="s">
        <v>24</v>
      </c>
      <c r="F15" s="13" t="s">
        <v>22</v>
      </c>
      <c r="G15" s="15" t="s">
        <v>25</v>
      </c>
      <c r="H15" s="25" t="s">
        <v>26</v>
      </c>
      <c r="I15" s="25" t="s">
        <v>27</v>
      </c>
      <c r="J15" s="25" t="s">
        <v>26</v>
      </c>
      <c r="K15" s="25" t="s">
        <v>28</v>
      </c>
      <c r="L15" s="25" t="s">
        <v>26</v>
      </c>
    </row>
    <row r="16" spans="2:12" s="11" customFormat="1" ht="19.95" customHeight="1">
      <c r="B16" s="12"/>
      <c r="C16" s="13"/>
      <c r="D16" s="14"/>
      <c r="E16" s="14"/>
      <c r="F16" s="13"/>
      <c r="G16" s="15"/>
      <c r="H16" s="25"/>
      <c r="I16" s="25"/>
      <c r="J16" s="25"/>
      <c r="K16" s="25"/>
      <c r="L16" s="25"/>
    </row>
    <row r="17" spans="2:12" s="11" customFormat="1" ht="19.95" customHeight="1">
      <c r="B17" s="12"/>
      <c r="C17" s="13"/>
      <c r="D17" s="14"/>
      <c r="E17" s="14"/>
      <c r="F17" s="13"/>
      <c r="G17" s="15"/>
      <c r="H17" s="25"/>
      <c r="I17" s="25"/>
      <c r="J17" s="25"/>
      <c r="K17" s="25"/>
      <c r="L17" s="25"/>
    </row>
    <row r="18" spans="2:12" s="11" customFormat="1" ht="19.95" customHeight="1">
      <c r="B18" s="12"/>
      <c r="C18" s="13"/>
      <c r="D18" s="14"/>
      <c r="E18" s="14"/>
      <c r="F18" s="13"/>
      <c r="G18" s="15"/>
      <c r="H18" s="25"/>
      <c r="I18" s="25"/>
      <c r="J18" s="25"/>
      <c r="K18" s="25"/>
      <c r="L18" s="25"/>
    </row>
    <row r="19" spans="2:12" s="11" customFormat="1" ht="19.95" customHeight="1">
      <c r="B19" s="12"/>
      <c r="C19" s="13"/>
      <c r="D19" s="14"/>
      <c r="E19" s="14"/>
      <c r="F19" s="13"/>
      <c r="G19" s="15"/>
      <c r="H19" s="25"/>
      <c r="I19" s="25"/>
      <c r="J19" s="25"/>
      <c r="K19" s="25"/>
      <c r="L19" s="25"/>
    </row>
    <row r="20" spans="2:12" s="11" customFormat="1" ht="19.95" customHeight="1">
      <c r="B20" s="12"/>
      <c r="C20" s="13"/>
      <c r="D20" s="14"/>
      <c r="E20" s="14"/>
      <c r="F20" s="13"/>
      <c r="G20" s="15"/>
      <c r="H20" s="25"/>
      <c r="I20" s="25"/>
      <c r="J20" s="25"/>
      <c r="K20" s="25"/>
      <c r="L20" s="25"/>
    </row>
    <row r="21" spans="2:12" s="11" customFormat="1" ht="19.95" customHeight="1">
      <c r="B21" s="12"/>
      <c r="C21" s="13"/>
      <c r="D21" s="14"/>
      <c r="E21" s="14"/>
      <c r="F21" s="13"/>
      <c r="G21" s="15"/>
      <c r="H21" s="25"/>
      <c r="I21" s="25"/>
      <c r="J21" s="25"/>
      <c r="K21" s="25"/>
      <c r="L21" s="25"/>
    </row>
    <row r="22" spans="2:12" s="11" customFormat="1" ht="19.95" customHeight="1">
      <c r="B22" s="12"/>
      <c r="C22" s="13"/>
      <c r="D22" s="14"/>
      <c r="E22" s="14"/>
      <c r="F22" s="13"/>
      <c r="G22" s="15"/>
      <c r="H22" s="25"/>
      <c r="I22" s="25"/>
      <c r="J22" s="25"/>
      <c r="K22" s="25"/>
      <c r="L22" s="25"/>
    </row>
    <row r="23" spans="2:12" s="11" customFormat="1" ht="19.95" customHeight="1">
      <c r="B23" s="12"/>
      <c r="C23" s="13"/>
      <c r="D23" s="14"/>
      <c r="E23" s="14"/>
      <c r="F23" s="13"/>
      <c r="G23" s="15"/>
      <c r="H23" s="25"/>
      <c r="I23" s="25"/>
      <c r="J23" s="25"/>
      <c r="K23" s="25"/>
      <c r="L23" s="25"/>
    </row>
    <row r="24" spans="2:12" s="11" customFormat="1" ht="19.95" customHeight="1">
      <c r="B24" s="12"/>
      <c r="C24" s="13"/>
      <c r="D24" s="14"/>
      <c r="E24" s="14"/>
      <c r="F24" s="13"/>
      <c r="G24" s="15"/>
      <c r="H24" s="25"/>
      <c r="I24" s="25"/>
      <c r="J24" s="25"/>
      <c r="K24" s="25"/>
      <c r="L24" s="25"/>
    </row>
    <row r="25" spans="2:12" s="11" customFormat="1" ht="19.95" customHeight="1">
      <c r="B25" s="12"/>
      <c r="C25" s="13"/>
      <c r="D25" s="14"/>
      <c r="E25" s="14"/>
      <c r="F25" s="13"/>
      <c r="G25" s="15"/>
      <c r="H25" s="25"/>
      <c r="I25" s="25"/>
      <c r="J25" s="25"/>
      <c r="K25" s="25"/>
      <c r="L25" s="25"/>
    </row>
    <row r="26" spans="2:12" ht="30" customHeight="1">
      <c r="B26" s="12"/>
      <c r="C26" s="13"/>
      <c r="D26" s="14"/>
      <c r="E26" s="14"/>
      <c r="F26" s="13"/>
      <c r="G26" s="15"/>
      <c r="H26" s="25"/>
      <c r="I26" s="25"/>
      <c r="J26" s="25"/>
      <c r="K26" s="25"/>
      <c r="L26" s="25"/>
    </row>
    <row r="27" spans="2:12" ht="30" customHeight="1">
      <c r="B27" s="12"/>
      <c r="C27" s="13"/>
      <c r="D27" s="14"/>
      <c r="E27" s="14"/>
      <c r="F27" s="13"/>
      <c r="G27" s="15"/>
      <c r="H27" s="25"/>
      <c r="I27" s="25"/>
      <c r="J27" s="25"/>
      <c r="K27" s="25"/>
      <c r="L27" s="25"/>
    </row>
    <row r="28" spans="2:12" ht="30" customHeight="1">
      <c r="B28" s="12"/>
      <c r="C28" s="13"/>
      <c r="D28" s="14"/>
      <c r="E28" s="14"/>
      <c r="F28" s="13"/>
      <c r="G28" s="15"/>
      <c r="H28" s="25"/>
      <c r="I28" s="25"/>
      <c r="J28" s="25"/>
      <c r="K28" s="25"/>
      <c r="L28" s="25"/>
    </row>
    <row r="29" spans="2:12" ht="30" customHeight="1">
      <c r="B29" s="12"/>
      <c r="C29" s="13"/>
      <c r="D29" s="14"/>
      <c r="E29" s="14"/>
      <c r="F29" s="13"/>
      <c r="G29" s="15"/>
      <c r="H29" s="24"/>
      <c r="I29" s="24"/>
      <c r="J29" s="24"/>
      <c r="K29" s="24"/>
      <c r="L29" s="24"/>
    </row>
    <row r="30" spans="2:12" ht="30" customHeight="1">
      <c r="B30" s="23"/>
      <c r="C30" s="6"/>
      <c r="D30" s="6"/>
      <c r="E30" s="6"/>
      <c r="F30" s="6"/>
      <c r="G30" s="6"/>
      <c r="H30" s="6"/>
    </row>
    <row r="31" spans="2:12" ht="30" customHeight="1">
      <c r="B31" s="6"/>
      <c r="C31" s="6"/>
      <c r="D31" s="6"/>
      <c r="E31" s="6"/>
      <c r="F31" s="6"/>
      <c r="G31" s="6"/>
      <c r="H31" s="6"/>
    </row>
    <row r="32" spans="2:12" ht="30" customHeight="1">
      <c r="B32" s="6"/>
      <c r="C32" s="6"/>
      <c r="D32" s="6"/>
      <c r="E32" s="6"/>
      <c r="F32" s="6"/>
      <c r="G32" s="6"/>
      <c r="H32" s="6"/>
    </row>
    <row r="33" spans="2:8" ht="30" customHeight="1">
      <c r="B33" s="6"/>
      <c r="C33" s="6"/>
      <c r="D33" s="6"/>
      <c r="E33" s="6"/>
      <c r="F33" s="6"/>
      <c r="G33" s="6"/>
      <c r="H33" s="6"/>
    </row>
    <row r="34" spans="2:8" ht="30" customHeight="1">
      <c r="B34" s="6"/>
      <c r="C34" s="6"/>
      <c r="D34" s="6"/>
      <c r="E34" s="6"/>
      <c r="F34" s="6"/>
      <c r="G34" s="6"/>
      <c r="H34" s="6"/>
    </row>
    <row r="35" spans="2:8" ht="30" customHeight="1">
      <c r="B35" s="6"/>
      <c r="C35" s="6"/>
      <c r="D35" s="6"/>
      <c r="E35" s="6"/>
      <c r="F35" s="6"/>
      <c r="G35" s="6"/>
      <c r="H35" s="6"/>
    </row>
    <row r="36" spans="2:8" ht="30" customHeight="1">
      <c r="B36" s="6"/>
      <c r="C36" s="6"/>
      <c r="D36" s="6"/>
      <c r="E36" s="6"/>
      <c r="F36" s="6"/>
      <c r="G36" s="6"/>
      <c r="H36" s="6"/>
    </row>
    <row r="37" spans="2:8" ht="30" customHeight="1">
      <c r="B37" s="6"/>
      <c r="C37" s="6"/>
      <c r="D37" s="6"/>
      <c r="E37" s="6"/>
      <c r="F37" s="6"/>
      <c r="G37" s="6"/>
      <c r="H37" s="6"/>
    </row>
    <row r="38" spans="2:8" ht="30" customHeight="1">
      <c r="B38" s="6"/>
      <c r="C38" s="6"/>
      <c r="D38" s="6"/>
      <c r="E38" s="6"/>
      <c r="F38" s="6"/>
      <c r="G38" s="6"/>
      <c r="H38" s="6"/>
    </row>
    <row r="39" spans="2:8" ht="30" customHeight="1">
      <c r="B39" s="6"/>
      <c r="C39" s="6"/>
      <c r="D39" s="6"/>
      <c r="E39" s="6"/>
      <c r="F39" s="6"/>
      <c r="G39" s="6"/>
      <c r="H39" s="6"/>
    </row>
    <row r="40" spans="2:8" ht="30" customHeight="1">
      <c r="B40" s="6"/>
      <c r="C40" s="6"/>
      <c r="D40" s="6"/>
      <c r="E40" s="6"/>
      <c r="F40" s="6"/>
      <c r="G40" s="6"/>
      <c r="H40" s="6"/>
    </row>
    <row r="41" spans="2:8" ht="30" customHeight="1">
      <c r="B41" s="6"/>
      <c r="C41" s="6"/>
      <c r="D41" s="6"/>
      <c r="E41" s="6"/>
      <c r="F41" s="6"/>
      <c r="G41" s="6"/>
      <c r="H41" s="6"/>
    </row>
    <row r="42" spans="2:8" ht="30" customHeight="1">
      <c r="B42" s="6"/>
      <c r="C42" s="6"/>
      <c r="D42" s="6"/>
      <c r="E42" s="6"/>
      <c r="F42" s="6"/>
      <c r="G42" s="6"/>
      <c r="H42" s="6"/>
    </row>
    <row r="43" spans="2:8" ht="30" customHeight="1">
      <c r="B43" s="6"/>
      <c r="C43" s="6"/>
      <c r="D43" s="6"/>
      <c r="E43" s="6"/>
      <c r="F43" s="6"/>
      <c r="G43" s="6"/>
      <c r="H43" s="6"/>
    </row>
    <row r="44" spans="2:8" ht="30" customHeight="1">
      <c r="B44" s="6"/>
      <c r="C44" s="6"/>
      <c r="D44" s="6"/>
      <c r="E44" s="6"/>
      <c r="F44" s="6"/>
      <c r="G44" s="6"/>
      <c r="H44" s="6"/>
    </row>
    <row r="45" spans="2:8" ht="30" customHeight="1">
      <c r="B45" s="6"/>
      <c r="C45" s="6"/>
      <c r="D45" s="6"/>
      <c r="E45" s="6"/>
      <c r="F45" s="6"/>
      <c r="G45" s="6"/>
      <c r="H45" s="6"/>
    </row>
    <row r="46" spans="2:8" ht="30" customHeight="1">
      <c r="B46" s="6"/>
      <c r="C46" s="6"/>
      <c r="D46" s="6"/>
      <c r="E46" s="6"/>
      <c r="F46" s="6"/>
      <c r="G46" s="6"/>
      <c r="H46" s="6"/>
    </row>
    <row r="47" spans="2:8" ht="30" customHeight="1">
      <c r="B47" s="6"/>
      <c r="C47" s="6"/>
      <c r="D47" s="6"/>
      <c r="E47" s="6"/>
      <c r="F47" s="6"/>
      <c r="G47" s="6"/>
      <c r="H47" s="6"/>
    </row>
    <row r="48" spans="2:8" ht="30" customHeight="1">
      <c r="B48" s="6"/>
      <c r="C48" s="6"/>
      <c r="D48" s="6"/>
      <c r="E48" s="6"/>
      <c r="F48" s="6"/>
      <c r="G48" s="6"/>
      <c r="H48" s="6"/>
    </row>
    <row r="49" spans="2:8" ht="30" customHeight="1">
      <c r="B49" s="6"/>
      <c r="C49" s="6"/>
      <c r="D49" s="6"/>
      <c r="E49" s="6"/>
      <c r="F49" s="6"/>
      <c r="G49" s="6"/>
      <c r="H49" s="6"/>
    </row>
    <row r="50" spans="2:8" ht="30" customHeight="1">
      <c r="B50" s="6"/>
      <c r="C50" s="6"/>
      <c r="D50" s="6"/>
      <c r="E50" s="6"/>
      <c r="F50" s="6"/>
      <c r="G50" s="6"/>
      <c r="H50" s="6"/>
    </row>
    <row r="51" spans="2:8" ht="30" customHeight="1">
      <c r="B51" s="6"/>
      <c r="C51" s="6"/>
      <c r="D51" s="6"/>
      <c r="E51" s="6"/>
      <c r="F51" s="6"/>
      <c r="G51" s="6"/>
      <c r="H51" s="6"/>
    </row>
    <row r="52" spans="2:8" ht="30" customHeight="1">
      <c r="B52" s="6"/>
      <c r="C52" s="6"/>
      <c r="D52" s="6"/>
      <c r="E52" s="6"/>
      <c r="F52" s="6"/>
      <c r="G52" s="6"/>
      <c r="H52" s="6"/>
    </row>
    <row r="53" spans="2:8" ht="30" customHeight="1">
      <c r="B53" s="6"/>
      <c r="C53" s="6"/>
      <c r="D53" s="6"/>
      <c r="E53" s="6"/>
      <c r="F53" s="6"/>
      <c r="G53" s="6"/>
      <c r="H53" s="6"/>
    </row>
    <row r="54" spans="2:8" ht="30" customHeight="1">
      <c r="B54" s="6"/>
      <c r="C54" s="6"/>
      <c r="D54" s="6"/>
      <c r="E54" s="6"/>
      <c r="F54" s="6"/>
      <c r="G54" s="6"/>
      <c r="H54" s="6"/>
    </row>
    <row r="55" spans="2:8" ht="30" customHeight="1">
      <c r="B55" s="6"/>
      <c r="C55" s="6"/>
      <c r="D55" s="6"/>
      <c r="E55" s="6"/>
      <c r="F55" s="6"/>
      <c r="G55" s="6"/>
      <c r="H55" s="6"/>
    </row>
    <row r="56" spans="2:8" ht="30" customHeight="1">
      <c r="B56" s="6"/>
      <c r="C56" s="6"/>
      <c r="D56" s="6"/>
      <c r="E56" s="6"/>
      <c r="F56" s="6"/>
      <c r="G56" s="6"/>
      <c r="H56" s="6"/>
    </row>
    <row r="57" spans="2:8" ht="30" customHeight="1">
      <c r="B57" s="6"/>
      <c r="C57" s="6"/>
      <c r="D57" s="6"/>
      <c r="E57" s="6"/>
      <c r="F57" s="6"/>
      <c r="G57" s="6"/>
      <c r="H57" s="6"/>
    </row>
    <row r="58" spans="2:8" ht="30" customHeight="1">
      <c r="B58" s="6"/>
      <c r="C58" s="6"/>
      <c r="D58" s="6"/>
      <c r="E58" s="6"/>
      <c r="F58" s="6"/>
      <c r="G58" s="6"/>
      <c r="H58" s="6"/>
    </row>
    <row r="59" spans="2:8" ht="30" customHeight="1">
      <c r="B59" s="6"/>
      <c r="C59" s="6"/>
      <c r="D59" s="6"/>
      <c r="E59" s="6"/>
      <c r="F59" s="6"/>
      <c r="G59" s="6"/>
      <c r="H59" s="6"/>
    </row>
    <row r="60" spans="2:8" ht="30" customHeight="1">
      <c r="B60" s="6"/>
      <c r="C60" s="6"/>
      <c r="D60" s="6"/>
      <c r="E60" s="6"/>
      <c r="F60" s="6"/>
      <c r="G60" s="6"/>
      <c r="H60" s="6"/>
    </row>
    <row r="61" spans="2:8" ht="30" customHeight="1">
      <c r="B61" s="6"/>
      <c r="C61" s="6"/>
      <c r="D61" s="6"/>
      <c r="E61" s="6"/>
      <c r="F61" s="6"/>
      <c r="G61" s="6"/>
      <c r="H61" s="6"/>
    </row>
    <row r="62" spans="2:8" ht="30" customHeight="1">
      <c r="B62" s="6"/>
      <c r="C62" s="6"/>
      <c r="D62" s="6"/>
      <c r="E62" s="6"/>
      <c r="F62" s="6"/>
      <c r="G62" s="6"/>
      <c r="H62" s="6"/>
    </row>
    <row r="63" spans="2:8" ht="30" customHeight="1">
      <c r="B63" s="6"/>
      <c r="C63" s="6"/>
      <c r="D63" s="6"/>
      <c r="E63" s="6"/>
      <c r="F63" s="6"/>
      <c r="G63" s="6"/>
      <c r="H63" s="6"/>
    </row>
    <row r="64" spans="2:8" ht="30" customHeight="1">
      <c r="B64" s="6"/>
      <c r="C64" s="6"/>
      <c r="D64" s="6"/>
      <c r="E64" s="6"/>
      <c r="F64" s="6"/>
      <c r="G64" s="6"/>
      <c r="H64" s="6"/>
    </row>
    <row r="65" spans="2:8" ht="30" customHeight="1">
      <c r="B65" s="6"/>
      <c r="C65" s="6"/>
      <c r="D65" s="6"/>
      <c r="E65" s="6"/>
      <c r="F65" s="6"/>
      <c r="G65" s="6"/>
      <c r="H65" s="6"/>
    </row>
    <row r="66" spans="2:8" ht="30" customHeight="1">
      <c r="B66" s="6"/>
      <c r="C66" s="6"/>
      <c r="D66" s="6"/>
      <c r="E66" s="6"/>
      <c r="F66" s="6"/>
      <c r="G66" s="6"/>
      <c r="H66" s="6"/>
    </row>
    <row r="67" spans="2:8" ht="30" customHeight="1">
      <c r="B67" s="6"/>
      <c r="C67" s="6"/>
      <c r="D67" s="6"/>
      <c r="E67" s="6"/>
      <c r="F67" s="6"/>
      <c r="G67" s="6"/>
      <c r="H67" s="6"/>
    </row>
    <row r="68" spans="2:8" ht="30" customHeight="1">
      <c r="B68" s="6"/>
      <c r="C68" s="6"/>
      <c r="D68" s="6"/>
      <c r="E68" s="6"/>
      <c r="F68" s="6"/>
      <c r="G68" s="6"/>
      <c r="H68" s="6"/>
    </row>
    <row r="69" spans="2:8" ht="30" customHeight="1">
      <c r="B69" s="6"/>
      <c r="C69" s="6"/>
      <c r="D69" s="6"/>
      <c r="E69" s="6"/>
      <c r="F69" s="6"/>
      <c r="G69" s="6"/>
      <c r="H69" s="6"/>
    </row>
    <row r="70" spans="2:8" ht="30" customHeight="1">
      <c r="B70" s="6"/>
      <c r="C70" s="6"/>
      <c r="D70" s="6"/>
      <c r="E70" s="6"/>
      <c r="F70" s="6"/>
      <c r="G70" s="6"/>
      <c r="H70" s="6"/>
    </row>
    <row r="71" spans="2:8" ht="30" customHeight="1">
      <c r="B71" s="6"/>
      <c r="C71" s="6"/>
      <c r="D71" s="6"/>
      <c r="E71" s="6"/>
      <c r="F71" s="6"/>
      <c r="G71" s="6"/>
      <c r="H71" s="6"/>
    </row>
    <row r="72" spans="2:8" ht="30" customHeight="1">
      <c r="B72" s="6"/>
      <c r="C72" s="6"/>
      <c r="D72" s="6"/>
      <c r="E72" s="6"/>
      <c r="F72" s="6"/>
      <c r="G72" s="6"/>
      <c r="H72" s="6"/>
    </row>
    <row r="73" spans="2:8" ht="30" customHeight="1">
      <c r="B73" s="6"/>
      <c r="C73" s="6"/>
      <c r="D73" s="6"/>
      <c r="E73" s="6"/>
      <c r="F73" s="6"/>
      <c r="G73" s="6"/>
      <c r="H73" s="6"/>
    </row>
    <row r="74" spans="2:8" ht="30" customHeight="1">
      <c r="B74" s="6"/>
      <c r="C74" s="6"/>
      <c r="D74" s="6"/>
      <c r="E74" s="6"/>
      <c r="F74" s="6"/>
      <c r="G74" s="6"/>
      <c r="H74" s="6"/>
    </row>
    <row r="75" spans="2:8" ht="30" customHeight="1">
      <c r="B75" s="6"/>
      <c r="C75" s="6"/>
      <c r="D75" s="6"/>
      <c r="E75" s="6"/>
      <c r="F75" s="6"/>
      <c r="G75" s="6"/>
      <c r="H75" s="6"/>
    </row>
    <row r="76" spans="2:8" ht="30" customHeight="1">
      <c r="B76" s="6"/>
      <c r="C76" s="6"/>
      <c r="D76" s="6"/>
      <c r="E76" s="6"/>
      <c r="F76" s="6"/>
      <c r="G76" s="6"/>
      <c r="H76" s="6"/>
    </row>
    <row r="77" spans="2:8" ht="30" customHeight="1">
      <c r="B77" s="6"/>
      <c r="C77" s="6"/>
      <c r="D77" s="6"/>
      <c r="E77" s="6"/>
      <c r="F77" s="6"/>
      <c r="G77" s="6"/>
      <c r="H77" s="6"/>
    </row>
    <row r="78" spans="2:8" ht="30" customHeight="1">
      <c r="B78" s="6"/>
      <c r="C78" s="6"/>
      <c r="D78" s="6"/>
      <c r="E78" s="6"/>
      <c r="F78" s="6"/>
      <c r="G78" s="6"/>
      <c r="H78" s="6"/>
    </row>
    <row r="79" spans="2:8" ht="30" customHeight="1">
      <c r="B79" s="6"/>
      <c r="C79" s="6"/>
      <c r="D79" s="6"/>
      <c r="E79" s="6"/>
      <c r="F79" s="6"/>
      <c r="G79" s="6"/>
      <c r="H79" s="6"/>
    </row>
    <row r="80" spans="2:8" ht="30" customHeight="1">
      <c r="B80" s="6"/>
      <c r="C80" s="6"/>
      <c r="D80" s="6"/>
      <c r="E80" s="6"/>
      <c r="F80" s="6"/>
      <c r="G80" s="6"/>
      <c r="H80" s="6"/>
    </row>
    <row r="81" spans="2:8" ht="30" customHeight="1">
      <c r="B81" s="6"/>
      <c r="C81" s="6"/>
      <c r="D81" s="6"/>
      <c r="E81" s="6"/>
      <c r="F81" s="6"/>
      <c r="G81" s="6"/>
      <c r="H81" s="6"/>
    </row>
    <row r="82" spans="2:8" ht="30" customHeight="1">
      <c r="B82" s="6"/>
      <c r="C82" s="6"/>
      <c r="D82" s="6"/>
      <c r="E82" s="6"/>
      <c r="F82" s="6"/>
      <c r="G82" s="6"/>
      <c r="H82" s="6"/>
    </row>
    <row r="83" spans="2:8" ht="30" customHeight="1">
      <c r="B83" s="6"/>
      <c r="C83" s="6"/>
      <c r="D83" s="6"/>
      <c r="E83" s="6"/>
      <c r="F83" s="6"/>
      <c r="G83" s="6"/>
      <c r="H83" s="6"/>
    </row>
    <row r="84" spans="2:8" ht="30" customHeight="1">
      <c r="B84" s="6"/>
      <c r="C84" s="6"/>
      <c r="D84" s="6"/>
      <c r="E84" s="6"/>
      <c r="F84" s="6"/>
      <c r="G84" s="6"/>
      <c r="H84" s="6"/>
    </row>
    <row r="85" spans="2:8" ht="30" customHeight="1">
      <c r="B85" s="6"/>
      <c r="C85" s="6"/>
      <c r="D85" s="6"/>
      <c r="E85" s="6"/>
      <c r="F85" s="6"/>
      <c r="G85" s="6"/>
      <c r="H85" s="6"/>
    </row>
    <row r="86" spans="2:8" ht="30" customHeight="1">
      <c r="B86" s="6"/>
      <c r="C86" s="6"/>
      <c r="D86" s="6"/>
      <c r="E86" s="6"/>
      <c r="F86" s="6"/>
      <c r="G86" s="6"/>
      <c r="H86" s="6"/>
    </row>
    <row r="87" spans="2:8" ht="30" customHeight="1">
      <c r="B87" s="6"/>
      <c r="C87" s="6"/>
      <c r="D87" s="6"/>
      <c r="E87" s="6"/>
      <c r="F87" s="6"/>
      <c r="G87" s="6"/>
      <c r="H87" s="6"/>
    </row>
    <row r="88" spans="2:8" ht="30" customHeight="1">
      <c r="B88" s="6"/>
      <c r="C88" s="6"/>
      <c r="D88" s="6"/>
      <c r="E88" s="6"/>
      <c r="F88" s="6"/>
      <c r="G88" s="6"/>
      <c r="H88" s="6"/>
    </row>
    <row r="89" spans="2:8" ht="30" customHeight="1">
      <c r="B89" s="6"/>
      <c r="C89" s="6"/>
      <c r="D89" s="6"/>
      <c r="E89" s="6"/>
      <c r="F89" s="6"/>
      <c r="G89" s="6"/>
      <c r="H89" s="6"/>
    </row>
    <row r="90" spans="2:8" ht="30" customHeight="1">
      <c r="B90" s="6"/>
      <c r="C90" s="6"/>
      <c r="D90" s="6"/>
      <c r="E90" s="6"/>
      <c r="F90" s="6"/>
      <c r="G90" s="6"/>
      <c r="H90" s="6"/>
    </row>
    <row r="91" spans="2:8" ht="30" customHeight="1">
      <c r="B91" s="6"/>
      <c r="C91" s="6"/>
      <c r="D91" s="6"/>
      <c r="E91" s="6"/>
      <c r="F91" s="6"/>
      <c r="G91" s="6"/>
      <c r="H91" s="6"/>
    </row>
    <row r="92" spans="2:8" ht="30" customHeight="1">
      <c r="B92" s="6"/>
      <c r="C92" s="6"/>
      <c r="D92" s="6"/>
      <c r="E92" s="6"/>
      <c r="F92" s="6"/>
      <c r="G92" s="6"/>
      <c r="H92" s="6"/>
    </row>
    <row r="93" spans="2:8" ht="30" customHeight="1">
      <c r="B93" s="6"/>
      <c r="C93" s="6"/>
      <c r="D93" s="6"/>
      <c r="E93" s="6"/>
      <c r="F93" s="6"/>
      <c r="G93" s="6"/>
      <c r="H93" s="6"/>
    </row>
    <row r="94" spans="2:8" ht="30" customHeight="1">
      <c r="B94" s="6"/>
      <c r="C94" s="6"/>
      <c r="D94" s="6"/>
      <c r="E94" s="6"/>
      <c r="F94" s="6"/>
      <c r="G94" s="6"/>
      <c r="H94" s="6"/>
    </row>
    <row r="95" spans="2:8" ht="30" customHeight="1">
      <c r="B95" s="6"/>
      <c r="C95" s="6"/>
      <c r="D95" s="6"/>
      <c r="E95" s="6"/>
      <c r="F95" s="6"/>
      <c r="G95" s="6"/>
      <c r="H95" s="6"/>
    </row>
    <row r="96" spans="2:8" ht="30" customHeight="1">
      <c r="B96" s="6"/>
      <c r="C96" s="6"/>
      <c r="D96" s="6"/>
      <c r="E96" s="6"/>
      <c r="F96" s="6"/>
      <c r="G96" s="6"/>
      <c r="H96" s="6"/>
    </row>
    <row r="97" spans="2:8" ht="30" customHeight="1">
      <c r="B97" s="6"/>
      <c r="C97" s="6"/>
      <c r="D97" s="6"/>
      <c r="E97" s="6"/>
      <c r="F97" s="6"/>
      <c r="G97" s="6"/>
      <c r="H97" s="6"/>
    </row>
    <row r="98" spans="2:8" ht="30" customHeight="1">
      <c r="H98" s="6"/>
    </row>
  </sheetData>
  <sheetProtection algorithmName="SHA-512" hashValue="1HilGGahmz095ZwrRJhq2oUSetbTP4WFIwm1mFcKS4jiDsLWElTLKVcaVBzXcTeguAPKv5I5VDifDmyWFWosfg==" saltValue="qLQbRAbC/jfdQKF7BiFQ7Q==" spinCount="100000" sheet="1" objects="1" scenarios="1"/>
  <printOptions horizontalCentered="1"/>
  <pageMargins left="0.25" right="0.25" top="0.75" bottom="0.75" header="0.3" footer="0.3"/>
  <pageSetup scale="43" fitToHeight="0" orientation="portrait"/>
  <headerFooter differentFirst="1">
    <oddFooter>&amp;L&amp;C&amp;R</oddFooter>
  </headerFooter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/>
  </sheetPr>
  <dimension ref="A1"/>
  <sheetViews>
    <sheetView workbookViewId="0"/>
  </sheetViews>
  <sheetFormatPr defaultRowHeight="13.8"/>
  <sheetData>
    <row r="1" spans="1:1">
      <c r="A1" s="21">
        <v>45884</v>
      </c>
    </row>
  </sheetData>
  <sheetProtection algorithmName="SHA-512" hashValue="Vv/7s/iVFj7efHiXoKGtAzRHN4Ms08BjTPWBAE7J/lgC7KqpcgYDsqLWl3Ps5jbBUO+DSlYWBs+/EjUaSYpcmw==" saltValue="FQY7Z+4UlVkNdeB+iBkUK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Patient 1</vt:lpstr>
      <vt:lpstr>Average_Calories</vt:lpstr>
      <vt:lpstr>Average_Distance__miles_km</vt:lpstr>
      <vt:lpstr>Average_Duration__minutes</vt:lpstr>
      <vt:lpstr>Average_Pace__per_hour</vt:lpstr>
      <vt:lpstr>Average_Weight</vt:lpstr>
      <vt:lpstr>'Patient 1'!Print_Titles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Boni Singu</dc:creator>
  <cp:lastModifiedBy>Benjamin Hairungu</cp:lastModifiedBy>
  <dcterms:created xsi:type="dcterms:W3CDTF">2016-11-02T00:40:35Z</dcterms:created>
  <dcterms:modified xsi:type="dcterms:W3CDTF">2025-08-19T14:22:11Z</dcterms:modified>
</cp:coreProperties>
</file>